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<sst xmlns="http://schemas.openxmlformats.org/spreadsheetml/2006/main" count="120" uniqueCount="37">
  <si>
    <t>raw number</t>
  </si>
  <si>
    <t>RAW corpus</t>
  </si>
  <si>
    <t>NORM per 1000 words</t>
  </si>
  <si>
    <t>polarity</t>
  </si>
  <si>
    <t>CBC</t>
  </si>
  <si>
    <t>ABC</t>
  </si>
  <si>
    <t>LL</t>
  </si>
  <si>
    <t>p-value</t>
  </si>
  <si>
    <t>Sig.</t>
  </si>
  <si>
    <t>% change</t>
  </si>
  <si>
    <t>positive</t>
  </si>
  <si>
    <t>entity</t>
  </si>
  <si>
    <t>viewpoint</t>
  </si>
  <si>
    <t>***</t>
  </si>
  <si>
    <t>-</t>
  </si>
  <si>
    <t>value</t>
  </si>
  <si>
    <t/>
  </si>
  <si>
    <t>+</t>
  </si>
  <si>
    <t>method</t>
  </si>
  <si>
    <t>organization</t>
  </si>
  <si>
    <t>**</t>
  </si>
  <si>
    <t>author</t>
  </si>
  <si>
    <t>engagement</t>
  </si>
  <si>
    <t>monogloss</t>
  </si>
  <si>
    <t>heterogloss</t>
  </si>
  <si>
    <t>contract</t>
  </si>
  <si>
    <t>expand</t>
  </si>
  <si>
    <t>deny</t>
  </si>
  <si>
    <t>counter</t>
  </si>
  <si>
    <t>concur</t>
  </si>
  <si>
    <t>pronounce</t>
  </si>
  <si>
    <t>endorse</t>
  </si>
  <si>
    <t>justify</t>
  </si>
  <si>
    <t>entertain</t>
  </si>
  <si>
    <t>acknowledge</t>
  </si>
  <si>
    <t>distance</t>
  </si>
  <si>
    <t>negative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</si>
</sst>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Fill="1" applyBorder="1" applyAlignment="1"/>
    <xf numFmtId="0" fontId="1" fillId="0" borderId="1" xfId="0" applyFont="1" applyFill="1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/>
    <xf numFmtId="0" fontId="1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176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77" fontId="2" fillId="0" borderId="1" xfId="0" applyNumberFormat="1" applyFont="1" applyFill="1" applyBorder="1" applyAlignment="1"/>
    <xf numFmtId="10" fontId="1" fillId="0" borderId="1" xfId="0" applyNumberFormat="1" applyFont="1" applyFill="1" applyBorder="1" applyAlignment="1"/>
    <xf numFmtId="176" fontId="2" fillId="0" borderId="1" xfId="0" applyNumberFormat="1" applyFont="1" applyFill="1" applyBorder="1" applyAlignment="1"/>
    <xf numFmtId="2" fontId="2" fillId="0" borderId="1" xfId="0" applyNumberFormat="1" applyFont="1" applyFill="1" applyBorder="1" applyAlignment="1"/>
    <xf numFmtId="177" fontId="2" fillId="0" borderId="1" xfId="0" applyNumberFormat="1" applyFont="1" applyFill="1" applyBorder="1" applyAlignment="1"/>
    <xf numFmtId="176" fontId="1" fillId="0" borderId="1" xfId="0" applyNumberFormat="1" applyFont="1" applyFill="1" applyBorder="1" applyAlignment="1"/>
    <xf numFmtId="2" fontId="1" fillId="0" borderId="1" xfId="0" applyNumberFormat="1" applyFont="1" applyFill="1" applyBorder="1" applyAlignment="1"/>
    <xf numFmtId="177" fontId="1" fillId="0" borderId="1" xfId="0" applyNumberFormat="1" applyFont="1" applyFill="1" applyBorder="1" applyAlignment="1"/>
    <xf numFmtId="176" fontId="1" fillId="0" borderId="1" xfId="0" applyNumberFormat="1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9"/>
  <sheetViews>
    <sheetView tabSelected="1" workbookViewId="0">
      <selection activeCell="R10" sqref="R10"/>
    </sheetView>
  </sheetViews>
  <sheetFormatPr defaultColWidth="8.72727272727273" defaultRowHeight="14"/>
  <cols>
    <col min="3" max="3" width="11.3636363636364" customWidth="1"/>
    <col min="4" max="4" width="10.5454545454545" customWidth="1"/>
    <col min="9" max="10" width="10.7272727272727" customWidth="1"/>
  </cols>
  <sheetData>
    <row r="2" spans="2:15">
      <c r="B2" s="1"/>
      <c r="C2" s="1"/>
      <c r="D2" s="1"/>
      <c r="E2" s="2" t="s">
        <v>0</v>
      </c>
      <c r="F2" s="3"/>
      <c r="G2" s="4" t="s">
        <v>1</v>
      </c>
      <c r="H2" s="5"/>
      <c r="I2" s="2" t="s">
        <v>2</v>
      </c>
      <c r="J2" s="3"/>
      <c r="K2" s="1"/>
      <c r="L2" s="1"/>
      <c r="M2" s="1"/>
      <c r="N2" s="1"/>
      <c r="O2" s="1"/>
    </row>
    <row r="3" ht="15.5" spans="2:15">
      <c r="B3" s="6" t="s">
        <v>3</v>
      </c>
      <c r="C3" s="7"/>
      <c r="D3" s="7"/>
      <c r="E3" s="8" t="s">
        <v>4</v>
      </c>
      <c r="F3" s="8" t="s">
        <v>5</v>
      </c>
      <c r="G3" s="2" t="s">
        <v>4</v>
      </c>
      <c r="H3" s="2" t="s">
        <v>5</v>
      </c>
      <c r="I3" s="20" t="s">
        <v>4</v>
      </c>
      <c r="J3" s="20" t="s">
        <v>5</v>
      </c>
      <c r="K3" s="21" t="s">
        <v>6</v>
      </c>
      <c r="L3" s="21" t="s">
        <v>7</v>
      </c>
      <c r="M3" s="21" t="s">
        <v>8</v>
      </c>
      <c r="N3" s="21" t="s">
        <v>9</v>
      </c>
      <c r="O3" s="7"/>
    </row>
    <row r="4" spans="2:15">
      <c r="B4" s="9" t="s">
        <v>10</v>
      </c>
      <c r="C4" s="10" t="s">
        <v>11</v>
      </c>
      <c r="D4" s="11" t="s">
        <v>12</v>
      </c>
      <c r="E4" s="12">
        <v>180</v>
      </c>
      <c r="F4" s="12">
        <v>361</v>
      </c>
      <c r="G4" s="12">
        <v>90778</v>
      </c>
      <c r="H4" s="12">
        <v>89917</v>
      </c>
      <c r="I4" s="22">
        <f t="shared" ref="I4:I38" si="0">E4/G4*1000</f>
        <v>1.98285928308621</v>
      </c>
      <c r="J4" s="22">
        <f t="shared" ref="J4:J38" si="1">F4/H4*1000</f>
        <v>4.01481366148782</v>
      </c>
      <c r="K4" s="23">
        <v>63.4771448890437</v>
      </c>
      <c r="L4" s="24">
        <v>1.62238278766178e-15</v>
      </c>
      <c r="M4" s="11" t="s">
        <v>13</v>
      </c>
      <c r="N4" s="11" t="s">
        <v>14</v>
      </c>
      <c r="O4" s="25">
        <v>0.4775</v>
      </c>
    </row>
    <row r="5" spans="2:15">
      <c r="B5" s="13"/>
      <c r="C5" s="14"/>
      <c r="D5" s="11" t="s">
        <v>15</v>
      </c>
      <c r="E5" s="12">
        <v>351</v>
      </c>
      <c r="F5" s="12">
        <v>309</v>
      </c>
      <c r="G5" s="12">
        <v>90778</v>
      </c>
      <c r="H5" s="12">
        <v>89917</v>
      </c>
      <c r="I5" s="22">
        <f t="shared" si="0"/>
        <v>3.86657560201811</v>
      </c>
      <c r="J5" s="22">
        <f t="shared" si="1"/>
        <v>3.43650255235384</v>
      </c>
      <c r="K5" s="23">
        <v>2.2892617183046</v>
      </c>
      <c r="L5" s="24">
        <v>0.13027187606391</v>
      </c>
      <c r="M5" s="11" t="s">
        <v>16</v>
      </c>
      <c r="N5" s="11" t="s">
        <v>17</v>
      </c>
      <c r="O5" s="25">
        <v>0.4087</v>
      </c>
    </row>
    <row r="6" spans="2:15">
      <c r="B6" s="13"/>
      <c r="C6" s="14"/>
      <c r="D6" s="11" t="s">
        <v>18</v>
      </c>
      <c r="E6" s="12">
        <v>56</v>
      </c>
      <c r="F6" s="12">
        <v>43</v>
      </c>
      <c r="G6" s="12">
        <v>90778</v>
      </c>
      <c r="H6" s="12">
        <v>89917</v>
      </c>
      <c r="I6" s="22">
        <f t="shared" si="0"/>
        <v>0.616889554737932</v>
      </c>
      <c r="J6" s="22">
        <f t="shared" si="1"/>
        <v>0.478218801783867</v>
      </c>
      <c r="K6" s="23">
        <v>1.59036926031518</v>
      </c>
      <c r="L6" s="24">
        <v>0.207273384759444</v>
      </c>
      <c r="M6" s="11" t="s">
        <v>16</v>
      </c>
      <c r="N6" s="11" t="s">
        <v>17</v>
      </c>
      <c r="O6" s="25">
        <v>0.0569</v>
      </c>
    </row>
    <row r="7" spans="2:15">
      <c r="B7" s="13"/>
      <c r="C7" s="14"/>
      <c r="D7" s="11" t="s">
        <v>19</v>
      </c>
      <c r="E7" s="12">
        <v>46</v>
      </c>
      <c r="F7" s="12">
        <v>23</v>
      </c>
      <c r="G7" s="12">
        <v>90778</v>
      </c>
      <c r="H7" s="12">
        <v>89917</v>
      </c>
      <c r="I7" s="22">
        <f t="shared" si="0"/>
        <v>0.506730705677587</v>
      </c>
      <c r="J7" s="22">
        <f t="shared" si="1"/>
        <v>0.255791452116952</v>
      </c>
      <c r="K7" s="23">
        <v>7.59773364167273</v>
      </c>
      <c r="L7" s="24">
        <v>0.00584417169232571</v>
      </c>
      <c r="M7" s="11" t="s">
        <v>20</v>
      </c>
      <c r="N7" s="11" t="s">
        <v>17</v>
      </c>
      <c r="O7" s="25">
        <v>0.0304</v>
      </c>
    </row>
    <row r="8" spans="2:15">
      <c r="B8" s="13"/>
      <c r="C8" s="15"/>
      <c r="D8" s="11" t="s">
        <v>21</v>
      </c>
      <c r="E8" s="12">
        <v>11</v>
      </c>
      <c r="F8" s="12">
        <v>20</v>
      </c>
      <c r="G8" s="12">
        <v>90778</v>
      </c>
      <c r="H8" s="12">
        <v>89917</v>
      </c>
      <c r="I8" s="22">
        <f t="shared" si="0"/>
        <v>0.12117473396638</v>
      </c>
      <c r="J8" s="22">
        <f t="shared" si="1"/>
        <v>0.222427349666915</v>
      </c>
      <c r="K8" s="23">
        <v>2.73737879735394</v>
      </c>
      <c r="L8" s="24">
        <v>0.0980254389224826</v>
      </c>
      <c r="M8" s="11" t="s">
        <v>16</v>
      </c>
      <c r="N8" s="11" t="s">
        <v>14</v>
      </c>
      <c r="O8" s="25">
        <v>0.0265</v>
      </c>
    </row>
    <row r="9" spans="2:15">
      <c r="B9" s="13"/>
      <c r="C9" s="10" t="s">
        <v>22</v>
      </c>
      <c r="D9" s="11" t="s">
        <v>23</v>
      </c>
      <c r="E9" s="11">
        <v>301</v>
      </c>
      <c r="F9" s="11">
        <v>235</v>
      </c>
      <c r="G9" s="11">
        <v>90778</v>
      </c>
      <c r="H9" s="11">
        <v>89917</v>
      </c>
      <c r="I9" s="26">
        <f t="shared" si="0"/>
        <v>3.31578135671638</v>
      </c>
      <c r="J9" s="26">
        <f t="shared" si="1"/>
        <v>2.61352135858625</v>
      </c>
      <c r="K9" s="27">
        <v>7.53072149614386</v>
      </c>
      <c r="L9" s="28">
        <v>0.006065561131786</v>
      </c>
      <c r="M9" s="11" t="s">
        <v>20</v>
      </c>
      <c r="N9" s="11" t="s">
        <v>17</v>
      </c>
      <c r="O9" s="25">
        <v>0.3108</v>
      </c>
    </row>
    <row r="10" spans="2:15">
      <c r="B10" s="13"/>
      <c r="C10" s="14"/>
      <c r="D10" s="11" t="s">
        <v>24</v>
      </c>
      <c r="E10" s="11">
        <v>343</v>
      </c>
      <c r="F10" s="11">
        <v>521</v>
      </c>
      <c r="G10" s="11">
        <v>90778</v>
      </c>
      <c r="H10" s="11">
        <v>89917</v>
      </c>
      <c r="I10" s="26">
        <f t="shared" si="0"/>
        <v>3.77844852276983</v>
      </c>
      <c r="J10" s="26">
        <f t="shared" si="1"/>
        <v>5.79423245882314</v>
      </c>
      <c r="K10" s="27">
        <v>38.6511606186191</v>
      </c>
      <c r="L10" s="28">
        <v>5.06731169209795e-10</v>
      </c>
      <c r="M10" s="11" t="s">
        <v>13</v>
      </c>
      <c r="N10" s="11" t="s">
        <v>14</v>
      </c>
      <c r="O10" s="25">
        <v>0.6892</v>
      </c>
    </row>
    <row r="11" spans="2:15">
      <c r="B11" s="13"/>
      <c r="C11" s="14"/>
      <c r="D11" s="6" t="s">
        <v>25</v>
      </c>
      <c r="E11" s="7">
        <v>153</v>
      </c>
      <c r="F11" s="7">
        <v>233</v>
      </c>
      <c r="G11" s="7">
        <v>90778</v>
      </c>
      <c r="H11" s="7">
        <v>89917</v>
      </c>
      <c r="I11" s="29">
        <f t="shared" si="0"/>
        <v>1.68543039062328</v>
      </c>
      <c r="J11" s="29">
        <f t="shared" si="1"/>
        <v>2.59127862361956</v>
      </c>
      <c r="K11" s="30">
        <v>17.4722569839317</v>
      </c>
      <c r="L11" s="31">
        <v>2.91531026471304e-5</v>
      </c>
      <c r="M11" s="6" t="s">
        <v>13</v>
      </c>
      <c r="N11" s="6" t="s">
        <v>14</v>
      </c>
      <c r="O11" s="25">
        <v>0.3082</v>
      </c>
    </row>
    <row r="12" spans="2:15">
      <c r="B12" s="13"/>
      <c r="C12" s="14"/>
      <c r="D12" s="6" t="s">
        <v>26</v>
      </c>
      <c r="E12" s="7">
        <v>190</v>
      </c>
      <c r="F12" s="7">
        <v>288</v>
      </c>
      <c r="G12" s="7">
        <v>90778</v>
      </c>
      <c r="H12" s="7">
        <v>89917</v>
      </c>
      <c r="I12" s="29">
        <f t="shared" si="0"/>
        <v>2.09301813214656</v>
      </c>
      <c r="J12" s="29">
        <f t="shared" si="1"/>
        <v>3.20295383520358</v>
      </c>
      <c r="K12" s="30">
        <v>21.1800156635626</v>
      </c>
      <c r="L12" s="31">
        <v>4.18101463749563e-6</v>
      </c>
      <c r="M12" s="6" t="s">
        <v>13</v>
      </c>
      <c r="N12" s="6" t="s">
        <v>14</v>
      </c>
      <c r="O12" s="25">
        <v>0.381</v>
      </c>
    </row>
    <row r="13" spans="2:15">
      <c r="B13" s="13"/>
      <c r="C13" s="14"/>
      <c r="D13" s="6" t="s">
        <v>27</v>
      </c>
      <c r="E13" s="7">
        <v>3</v>
      </c>
      <c r="F13" s="7">
        <v>1</v>
      </c>
      <c r="G13" s="7">
        <v>90778</v>
      </c>
      <c r="H13" s="7">
        <v>89917</v>
      </c>
      <c r="I13" s="29">
        <f t="shared" si="0"/>
        <v>0.0330476547181035</v>
      </c>
      <c r="J13" s="29">
        <f t="shared" si="1"/>
        <v>0.0111213674833458</v>
      </c>
      <c r="K13" s="30">
        <v>1.02752722119372</v>
      </c>
      <c r="L13" s="31">
        <v>0.310740160707629</v>
      </c>
      <c r="M13" s="6" t="s">
        <v>16</v>
      </c>
      <c r="N13" s="6" t="s">
        <v>17</v>
      </c>
      <c r="O13" s="25">
        <v>0.0013</v>
      </c>
    </row>
    <row r="14" spans="2:15">
      <c r="B14" s="13"/>
      <c r="C14" s="14"/>
      <c r="D14" s="6" t="s">
        <v>28</v>
      </c>
      <c r="E14" s="7">
        <v>49</v>
      </c>
      <c r="F14" s="7">
        <v>91</v>
      </c>
      <c r="G14" s="7">
        <v>90778</v>
      </c>
      <c r="H14" s="7">
        <v>89917</v>
      </c>
      <c r="I14" s="29">
        <f t="shared" si="0"/>
        <v>0.539778360395691</v>
      </c>
      <c r="J14" s="29">
        <f t="shared" si="1"/>
        <v>1.01204444098446</v>
      </c>
      <c r="K14" s="30">
        <v>13.1995879103404</v>
      </c>
      <c r="L14" s="31">
        <v>0.000280010680822565</v>
      </c>
      <c r="M14" s="6" t="s">
        <v>13</v>
      </c>
      <c r="N14" s="6" t="s">
        <v>14</v>
      </c>
      <c r="O14" s="25">
        <v>0.1204</v>
      </c>
    </row>
    <row r="15" spans="2:15">
      <c r="B15" s="13"/>
      <c r="C15" s="14"/>
      <c r="D15" s="6" t="s">
        <v>29</v>
      </c>
      <c r="E15" s="7">
        <v>12</v>
      </c>
      <c r="F15" s="7">
        <v>34</v>
      </c>
      <c r="G15" s="7">
        <v>90778</v>
      </c>
      <c r="H15" s="7">
        <v>89917</v>
      </c>
      <c r="I15" s="29">
        <f t="shared" si="0"/>
        <v>0.132190618872414</v>
      </c>
      <c r="J15" s="29">
        <f t="shared" si="1"/>
        <v>0.378126494433756</v>
      </c>
      <c r="K15" s="30">
        <v>11.1755105710491</v>
      </c>
      <c r="L15" s="31">
        <v>0.0008288408366742</v>
      </c>
      <c r="M15" s="6" t="s">
        <v>13</v>
      </c>
      <c r="N15" s="6" t="s">
        <v>14</v>
      </c>
      <c r="O15" s="25">
        <v>0.045</v>
      </c>
    </row>
    <row r="16" spans="2:15">
      <c r="B16" s="13"/>
      <c r="C16" s="14"/>
      <c r="D16" s="6" t="s">
        <v>30</v>
      </c>
      <c r="E16" s="7">
        <v>10</v>
      </c>
      <c r="F16" s="7">
        <v>16</v>
      </c>
      <c r="G16" s="7">
        <v>90778</v>
      </c>
      <c r="H16" s="7">
        <v>89917</v>
      </c>
      <c r="I16" s="29">
        <f t="shared" si="0"/>
        <v>0.110158849060345</v>
      </c>
      <c r="J16" s="29">
        <f t="shared" si="1"/>
        <v>0.177941879733532</v>
      </c>
      <c r="K16" s="30">
        <v>1.45494436750645</v>
      </c>
      <c r="L16" s="31">
        <v>0.22773624094087</v>
      </c>
      <c r="M16" s="6" t="s">
        <v>16</v>
      </c>
      <c r="N16" s="6" t="s">
        <v>14</v>
      </c>
      <c r="O16" s="25">
        <v>0.0212</v>
      </c>
    </row>
    <row r="17" spans="2:15">
      <c r="B17" s="13"/>
      <c r="C17" s="14"/>
      <c r="D17" s="6" t="s">
        <v>31</v>
      </c>
      <c r="E17" s="7">
        <v>41</v>
      </c>
      <c r="F17" s="7">
        <v>77</v>
      </c>
      <c r="G17" s="7">
        <v>90778</v>
      </c>
      <c r="H17" s="7">
        <v>89917</v>
      </c>
      <c r="I17" s="29">
        <f t="shared" si="0"/>
        <v>0.451651281147415</v>
      </c>
      <c r="J17" s="29">
        <f t="shared" si="1"/>
        <v>0.856345296217623</v>
      </c>
      <c r="K17" s="30">
        <v>11.5058647922391</v>
      </c>
      <c r="L17" s="31">
        <v>0.000693769454980939</v>
      </c>
      <c r="M17" s="6" t="s">
        <v>13</v>
      </c>
      <c r="N17" s="6" t="s">
        <v>14</v>
      </c>
      <c r="O17" s="25">
        <v>0.1019</v>
      </c>
    </row>
    <row r="18" spans="2:15">
      <c r="B18" s="13"/>
      <c r="C18" s="14"/>
      <c r="D18" s="6" t="s">
        <v>32</v>
      </c>
      <c r="E18" s="7">
        <v>38</v>
      </c>
      <c r="F18" s="7">
        <v>14</v>
      </c>
      <c r="G18" s="7">
        <v>90778</v>
      </c>
      <c r="H18" s="7">
        <v>89917</v>
      </c>
      <c r="I18" s="29">
        <f t="shared" si="0"/>
        <v>0.418603626429311</v>
      </c>
      <c r="J18" s="29">
        <f t="shared" si="1"/>
        <v>0.155699144766841</v>
      </c>
      <c r="K18" s="30">
        <v>11.280575437642</v>
      </c>
      <c r="L18" s="31">
        <v>0.000783222756352928</v>
      </c>
      <c r="M18" s="6" t="s">
        <v>13</v>
      </c>
      <c r="N18" s="6" t="s">
        <v>17</v>
      </c>
      <c r="O18" s="25">
        <v>0.0185</v>
      </c>
    </row>
    <row r="19" spans="2:15">
      <c r="B19" s="13"/>
      <c r="C19" s="14"/>
      <c r="D19" s="6" t="s">
        <v>33</v>
      </c>
      <c r="E19" s="7">
        <v>160</v>
      </c>
      <c r="F19" s="7">
        <v>222</v>
      </c>
      <c r="G19" s="7">
        <v>90778</v>
      </c>
      <c r="H19" s="7">
        <v>89917</v>
      </c>
      <c r="I19" s="29">
        <f t="shared" si="0"/>
        <v>1.76254158496552</v>
      </c>
      <c r="J19" s="29">
        <f t="shared" si="1"/>
        <v>2.46894358130276</v>
      </c>
      <c r="K19" s="30">
        <v>10.7070091175944</v>
      </c>
      <c r="L19" s="31">
        <v>0.00106730423454644</v>
      </c>
      <c r="M19" s="6" t="s">
        <v>20</v>
      </c>
      <c r="N19" s="6" t="s">
        <v>14</v>
      </c>
      <c r="O19" s="25">
        <v>0.2937</v>
      </c>
    </row>
    <row r="20" spans="2:15">
      <c r="B20" s="13"/>
      <c r="C20" s="14"/>
      <c r="D20" s="6" t="s">
        <v>34</v>
      </c>
      <c r="E20" s="7">
        <v>25</v>
      </c>
      <c r="F20" s="7">
        <v>61</v>
      </c>
      <c r="G20" s="7">
        <v>90778</v>
      </c>
      <c r="H20" s="7">
        <v>89917</v>
      </c>
      <c r="I20" s="29">
        <f t="shared" si="0"/>
        <v>0.275397122650863</v>
      </c>
      <c r="J20" s="29">
        <f t="shared" si="1"/>
        <v>0.678403416484091</v>
      </c>
      <c r="K20" s="30">
        <v>15.8890133362854</v>
      </c>
      <c r="L20" s="31">
        <v>6.71674979318949e-5</v>
      </c>
      <c r="M20" s="6" t="s">
        <v>13</v>
      </c>
      <c r="N20" s="6" t="s">
        <v>14</v>
      </c>
      <c r="O20" s="25">
        <v>0.0807</v>
      </c>
    </row>
    <row r="21" spans="2:15">
      <c r="B21" s="13"/>
      <c r="C21" s="15"/>
      <c r="D21" s="6" t="s">
        <v>35</v>
      </c>
      <c r="E21" s="7">
        <v>5</v>
      </c>
      <c r="F21" s="7">
        <v>5</v>
      </c>
      <c r="G21" s="7">
        <v>90778</v>
      </c>
      <c r="H21" s="7">
        <v>89917</v>
      </c>
      <c r="I21" s="29">
        <f t="shared" si="0"/>
        <v>0.0550794245301725</v>
      </c>
      <c r="J21" s="29">
        <f t="shared" si="1"/>
        <v>0.0556068374167288</v>
      </c>
      <c r="K21" s="30">
        <v>0.000227048670088381</v>
      </c>
      <c r="L21" s="31">
        <v>0.987977823251812</v>
      </c>
      <c r="M21" s="6" t="s">
        <v>16</v>
      </c>
      <c r="N21" s="6" t="s">
        <v>14</v>
      </c>
      <c r="O21" s="25">
        <v>0.0066</v>
      </c>
    </row>
    <row r="22" spans="2:15">
      <c r="B22" s="16" t="s">
        <v>36</v>
      </c>
      <c r="C22" s="10" t="s">
        <v>11</v>
      </c>
      <c r="D22" s="11" t="s">
        <v>12</v>
      </c>
      <c r="E22" s="12">
        <v>64</v>
      </c>
      <c r="F22" s="12">
        <v>47</v>
      </c>
      <c r="G22" s="12">
        <v>90778</v>
      </c>
      <c r="H22" s="12">
        <v>89917</v>
      </c>
      <c r="I22" s="22">
        <f t="shared" si="0"/>
        <v>0.705016633986208</v>
      </c>
      <c r="J22" s="22">
        <f t="shared" si="1"/>
        <v>0.52270427171725</v>
      </c>
      <c r="K22" s="23">
        <v>2.45438983466222</v>
      </c>
      <c r="L22" s="24">
        <v>0.117196702101973</v>
      </c>
      <c r="M22" s="11" t="s">
        <v>16</v>
      </c>
      <c r="N22" s="11" t="s">
        <v>17</v>
      </c>
      <c r="O22" s="25">
        <v>0.4845</v>
      </c>
    </row>
    <row r="23" spans="2:15">
      <c r="B23" s="17"/>
      <c r="C23" s="14"/>
      <c r="D23" s="11" t="s">
        <v>15</v>
      </c>
      <c r="E23" s="12">
        <v>16</v>
      </c>
      <c r="F23" s="12">
        <v>13</v>
      </c>
      <c r="G23" s="12">
        <v>90778</v>
      </c>
      <c r="H23" s="12">
        <v>89917</v>
      </c>
      <c r="I23" s="22">
        <f t="shared" si="0"/>
        <v>0.176254158496552</v>
      </c>
      <c r="J23" s="22">
        <f t="shared" si="1"/>
        <v>0.144577777283495</v>
      </c>
      <c r="K23" s="23">
        <v>0.282969351372434</v>
      </c>
      <c r="L23" s="24">
        <v>0.594761570651776</v>
      </c>
      <c r="M23" s="11" t="s">
        <v>16</v>
      </c>
      <c r="N23" s="11" t="s">
        <v>17</v>
      </c>
      <c r="O23" s="25">
        <v>0.134</v>
      </c>
    </row>
    <row r="24" spans="2:15">
      <c r="B24" s="17"/>
      <c r="C24" s="14"/>
      <c r="D24" s="11" t="s">
        <v>18</v>
      </c>
      <c r="E24" s="12">
        <v>67</v>
      </c>
      <c r="F24" s="12">
        <v>21</v>
      </c>
      <c r="G24" s="12">
        <v>90778</v>
      </c>
      <c r="H24" s="12">
        <v>89917</v>
      </c>
      <c r="I24" s="22">
        <f t="shared" si="0"/>
        <v>0.738064288704312</v>
      </c>
      <c r="J24" s="22">
        <f t="shared" si="1"/>
        <v>0.233548717150261</v>
      </c>
      <c r="K24" s="23">
        <v>24.8449984679777</v>
      </c>
      <c r="L24" s="24">
        <v>6.21300381501221e-7</v>
      </c>
      <c r="M24" s="11" t="s">
        <v>13</v>
      </c>
      <c r="N24" s="11" t="s">
        <v>17</v>
      </c>
      <c r="O24" s="25">
        <v>0.2165</v>
      </c>
    </row>
    <row r="25" spans="2:15">
      <c r="B25" s="17"/>
      <c r="C25" s="14"/>
      <c r="D25" s="11" t="s">
        <v>19</v>
      </c>
      <c r="E25" s="12">
        <v>16</v>
      </c>
      <c r="F25" s="12">
        <v>16</v>
      </c>
      <c r="G25" s="12">
        <v>90778</v>
      </c>
      <c r="H25" s="12">
        <v>89917</v>
      </c>
      <c r="I25" s="22">
        <f t="shared" si="0"/>
        <v>0.176254158496552</v>
      </c>
      <c r="J25" s="22">
        <f t="shared" si="1"/>
        <v>0.177941879733532</v>
      </c>
      <c r="K25" s="23">
        <v>0.00072655574428282</v>
      </c>
      <c r="L25" s="24">
        <v>0.978495866647986</v>
      </c>
      <c r="M25" s="11" t="s">
        <v>16</v>
      </c>
      <c r="N25" s="11" t="s">
        <v>14</v>
      </c>
      <c r="O25" s="25">
        <v>0.1649</v>
      </c>
    </row>
    <row r="26" spans="2:15">
      <c r="B26" s="17"/>
      <c r="C26" s="15"/>
      <c r="D26" s="11" t="s">
        <v>21</v>
      </c>
      <c r="E26" s="12">
        <v>0</v>
      </c>
      <c r="F26" s="12">
        <v>0</v>
      </c>
      <c r="G26" s="12">
        <v>90778</v>
      </c>
      <c r="H26" s="12">
        <v>89917</v>
      </c>
      <c r="I26" s="22">
        <f t="shared" si="0"/>
        <v>0</v>
      </c>
      <c r="J26" s="22">
        <f t="shared" si="1"/>
        <v>0</v>
      </c>
      <c r="K26" s="23"/>
      <c r="L26" s="24"/>
      <c r="M26" s="12"/>
      <c r="N26" s="12"/>
      <c r="O26" s="25">
        <v>0</v>
      </c>
    </row>
    <row r="27" spans="2:15">
      <c r="B27" s="17"/>
      <c r="C27" s="10" t="s">
        <v>22</v>
      </c>
      <c r="D27" s="11" t="s">
        <v>23</v>
      </c>
      <c r="E27" s="11">
        <v>16</v>
      </c>
      <c r="F27" s="11">
        <v>8</v>
      </c>
      <c r="G27" s="11">
        <v>90778</v>
      </c>
      <c r="H27" s="11">
        <v>89917</v>
      </c>
      <c r="I27" s="26">
        <f t="shared" si="0"/>
        <v>0.176254158496552</v>
      </c>
      <c r="J27" s="26">
        <f t="shared" si="1"/>
        <v>0.088970939866766</v>
      </c>
      <c r="K27" s="27">
        <v>2.64268996232094</v>
      </c>
      <c r="L27" s="28">
        <v>0.104027272052671</v>
      </c>
      <c r="M27" s="11" t="s">
        <v>16</v>
      </c>
      <c r="N27" s="11" t="s">
        <v>17</v>
      </c>
      <c r="O27" s="25">
        <v>0.0825</v>
      </c>
    </row>
    <row r="28" spans="2:15">
      <c r="B28" s="17"/>
      <c r="C28" s="14"/>
      <c r="D28" s="11" t="s">
        <v>24</v>
      </c>
      <c r="E28" s="11">
        <v>147</v>
      </c>
      <c r="F28" s="11">
        <v>89</v>
      </c>
      <c r="G28" s="11">
        <v>90778</v>
      </c>
      <c r="H28" s="11">
        <v>89917</v>
      </c>
      <c r="I28" s="26">
        <f t="shared" si="0"/>
        <v>1.61933508118707</v>
      </c>
      <c r="J28" s="26">
        <f t="shared" si="1"/>
        <v>0.989801706017772</v>
      </c>
      <c r="K28" s="27">
        <v>13.8539332377909</v>
      </c>
      <c r="L28" s="28">
        <v>0.000197582748425172</v>
      </c>
      <c r="M28" s="11" t="s">
        <v>13</v>
      </c>
      <c r="N28" s="11" t="s">
        <v>17</v>
      </c>
      <c r="O28" s="25">
        <v>0.9175</v>
      </c>
    </row>
    <row r="29" spans="2:15">
      <c r="B29" s="17"/>
      <c r="C29" s="14"/>
      <c r="D29" s="6" t="s">
        <v>25</v>
      </c>
      <c r="E29" s="7">
        <v>56</v>
      </c>
      <c r="F29" s="7">
        <v>44</v>
      </c>
      <c r="G29" s="7">
        <v>90778</v>
      </c>
      <c r="H29" s="7">
        <v>89917</v>
      </c>
      <c r="I29" s="29">
        <f t="shared" si="0"/>
        <v>0.616889554737932</v>
      </c>
      <c r="J29" s="29">
        <f t="shared" si="1"/>
        <v>0.489340169267213</v>
      </c>
      <c r="K29" s="30">
        <v>1.33138723339493</v>
      </c>
      <c r="L29" s="31">
        <v>0.248558577419701</v>
      </c>
      <c r="M29" s="6" t="s">
        <v>16</v>
      </c>
      <c r="N29" s="6" t="s">
        <v>17</v>
      </c>
      <c r="O29" s="25">
        <v>0.4536</v>
      </c>
    </row>
    <row r="30" spans="2:15">
      <c r="B30" s="17"/>
      <c r="C30" s="14"/>
      <c r="D30" s="6" t="s">
        <v>26</v>
      </c>
      <c r="E30" s="7">
        <v>91</v>
      </c>
      <c r="F30" s="7">
        <v>45</v>
      </c>
      <c r="G30" s="7">
        <v>90778</v>
      </c>
      <c r="H30" s="7">
        <v>89917</v>
      </c>
      <c r="I30" s="29">
        <f t="shared" si="0"/>
        <v>1.00244552644914</v>
      </c>
      <c r="J30" s="29">
        <f t="shared" si="1"/>
        <v>0.500461536750559</v>
      </c>
      <c r="K30" s="30">
        <v>15.4346689459293</v>
      </c>
      <c r="L30" s="31">
        <v>8.54069707597308e-5</v>
      </c>
      <c r="M30" s="6" t="s">
        <v>13</v>
      </c>
      <c r="N30" s="6" t="s">
        <v>17</v>
      </c>
      <c r="O30" s="25">
        <v>0.4639</v>
      </c>
    </row>
    <row r="31" spans="2:15">
      <c r="B31" s="17"/>
      <c r="C31" s="14"/>
      <c r="D31" s="6" t="s">
        <v>27</v>
      </c>
      <c r="E31" s="7">
        <v>10</v>
      </c>
      <c r="F31" s="7">
        <v>6</v>
      </c>
      <c r="G31" s="7">
        <v>90778</v>
      </c>
      <c r="H31" s="7">
        <v>89917</v>
      </c>
      <c r="I31" s="29">
        <f t="shared" si="0"/>
        <v>0.110158849060345</v>
      </c>
      <c r="J31" s="29">
        <f t="shared" si="1"/>
        <v>0.0667282049000745</v>
      </c>
      <c r="K31" s="30">
        <v>0.972929663128151</v>
      </c>
      <c r="L31" s="31">
        <v>0.323950614649787</v>
      </c>
      <c r="M31" s="6" t="s">
        <v>16</v>
      </c>
      <c r="N31" s="6" t="s">
        <v>17</v>
      </c>
      <c r="O31" s="25">
        <v>0.0619</v>
      </c>
    </row>
    <row r="32" spans="2:15">
      <c r="B32" s="17"/>
      <c r="C32" s="14"/>
      <c r="D32" s="6" t="s">
        <v>28</v>
      </c>
      <c r="E32" s="7">
        <v>42</v>
      </c>
      <c r="F32" s="7">
        <v>31</v>
      </c>
      <c r="G32" s="7">
        <v>90778</v>
      </c>
      <c r="H32" s="7">
        <v>89917</v>
      </c>
      <c r="I32" s="29">
        <f t="shared" si="0"/>
        <v>0.462667166053449</v>
      </c>
      <c r="J32" s="29">
        <f t="shared" si="1"/>
        <v>0.344762391983718</v>
      </c>
      <c r="K32" s="30">
        <v>1.56069265134182</v>
      </c>
      <c r="L32" s="31">
        <v>0.211563831616402</v>
      </c>
      <c r="M32" s="6" t="s">
        <v>16</v>
      </c>
      <c r="N32" s="6" t="s">
        <v>17</v>
      </c>
      <c r="O32" s="25">
        <v>0.3196</v>
      </c>
    </row>
    <row r="33" spans="2:15">
      <c r="B33" s="17"/>
      <c r="C33" s="14"/>
      <c r="D33" s="6" t="s">
        <v>29</v>
      </c>
      <c r="E33" s="7">
        <v>0</v>
      </c>
      <c r="F33" s="7">
        <v>4</v>
      </c>
      <c r="G33" s="7">
        <v>90778</v>
      </c>
      <c r="H33" s="7">
        <v>89917</v>
      </c>
      <c r="I33" s="29">
        <f t="shared" si="0"/>
        <v>0</v>
      </c>
      <c r="J33" s="29">
        <f t="shared" si="1"/>
        <v>0.044485469933383</v>
      </c>
      <c r="K33" s="30"/>
      <c r="L33" s="31"/>
      <c r="M33" s="7"/>
      <c r="N33" s="6" t="s">
        <v>14</v>
      </c>
      <c r="O33" s="25">
        <v>0.0412</v>
      </c>
    </row>
    <row r="34" spans="2:15">
      <c r="B34" s="17"/>
      <c r="C34" s="14"/>
      <c r="D34" s="6" t="s">
        <v>30</v>
      </c>
      <c r="E34" s="7">
        <v>0</v>
      </c>
      <c r="F34" s="7">
        <v>2</v>
      </c>
      <c r="G34" s="7">
        <v>90778</v>
      </c>
      <c r="H34" s="7">
        <v>89917</v>
      </c>
      <c r="I34" s="29">
        <f t="shared" si="0"/>
        <v>0</v>
      </c>
      <c r="J34" s="29">
        <f t="shared" si="1"/>
        <v>0.0222427349666915</v>
      </c>
      <c r="K34" s="30"/>
      <c r="L34" s="31"/>
      <c r="M34" s="7"/>
      <c r="N34" s="6" t="s">
        <v>14</v>
      </c>
      <c r="O34" s="25">
        <v>0.0206</v>
      </c>
    </row>
    <row r="35" spans="2:15">
      <c r="B35" s="17"/>
      <c r="C35" s="14"/>
      <c r="D35" s="6" t="s">
        <v>31</v>
      </c>
      <c r="E35" s="7">
        <v>3</v>
      </c>
      <c r="F35" s="7">
        <v>0</v>
      </c>
      <c r="G35" s="7">
        <v>90778</v>
      </c>
      <c r="H35" s="7">
        <v>89917</v>
      </c>
      <c r="I35" s="29">
        <f t="shared" si="0"/>
        <v>0.0330476547181035</v>
      </c>
      <c r="J35" s="29">
        <f t="shared" si="1"/>
        <v>0</v>
      </c>
      <c r="K35" s="30"/>
      <c r="L35" s="31"/>
      <c r="M35" s="7"/>
      <c r="N35" s="6" t="s">
        <v>17</v>
      </c>
      <c r="O35" s="25">
        <v>0</v>
      </c>
    </row>
    <row r="36" spans="2:15">
      <c r="B36" s="17"/>
      <c r="C36" s="14"/>
      <c r="D36" s="6" t="s">
        <v>32</v>
      </c>
      <c r="E36" s="7">
        <v>1</v>
      </c>
      <c r="F36" s="7">
        <v>1</v>
      </c>
      <c r="G36" s="7">
        <v>90778</v>
      </c>
      <c r="H36" s="7">
        <v>89917</v>
      </c>
      <c r="I36" s="29">
        <f t="shared" si="0"/>
        <v>0.0110158849060345</v>
      </c>
      <c r="J36" s="29">
        <f t="shared" si="1"/>
        <v>0.0111213674833458</v>
      </c>
      <c r="K36" s="30">
        <v>4.54097340176762e-5</v>
      </c>
      <c r="L36" s="31">
        <v>0.994623356348155</v>
      </c>
      <c r="M36" s="6" t="s">
        <v>16</v>
      </c>
      <c r="N36" s="6" t="s">
        <v>14</v>
      </c>
      <c r="O36" s="25">
        <v>0.0103</v>
      </c>
    </row>
    <row r="37" spans="2:15">
      <c r="B37" s="17"/>
      <c r="C37" s="14"/>
      <c r="D37" s="6" t="s">
        <v>33</v>
      </c>
      <c r="E37" s="7">
        <v>89</v>
      </c>
      <c r="F37" s="7">
        <v>43</v>
      </c>
      <c r="G37" s="7">
        <v>90778</v>
      </c>
      <c r="H37" s="7">
        <v>89917</v>
      </c>
      <c r="I37" s="29">
        <f t="shared" si="0"/>
        <v>0.980413756637071</v>
      </c>
      <c r="J37" s="29">
        <f t="shared" si="1"/>
        <v>0.478218801783867</v>
      </c>
      <c r="K37" s="30">
        <v>15.9362515359577</v>
      </c>
      <c r="L37" s="31">
        <v>6.55118818313263e-5</v>
      </c>
      <c r="M37" s="6" t="s">
        <v>13</v>
      </c>
      <c r="N37" s="6" t="s">
        <v>17</v>
      </c>
      <c r="O37" s="25">
        <v>0.4433</v>
      </c>
    </row>
    <row r="38" spans="2:15">
      <c r="B38" s="17"/>
      <c r="C38" s="14"/>
      <c r="D38" s="6" t="s">
        <v>34</v>
      </c>
      <c r="E38" s="7">
        <v>1</v>
      </c>
      <c r="F38" s="7">
        <v>0</v>
      </c>
      <c r="G38" s="7">
        <v>90778</v>
      </c>
      <c r="H38" s="7">
        <v>89917</v>
      </c>
      <c r="I38" s="29">
        <f t="shared" si="0"/>
        <v>0.0110158849060345</v>
      </c>
      <c r="J38" s="29">
        <f t="shared" si="1"/>
        <v>0</v>
      </c>
      <c r="K38" s="30"/>
      <c r="L38" s="31"/>
      <c r="M38" s="7"/>
      <c r="N38" s="6" t="s">
        <v>17</v>
      </c>
      <c r="O38" s="25">
        <v>0</v>
      </c>
    </row>
    <row r="39" spans="2:15">
      <c r="B39" s="18"/>
      <c r="C39" s="15"/>
      <c r="D39" s="19" t="s">
        <v>35</v>
      </c>
      <c r="E39" s="1">
        <v>0</v>
      </c>
      <c r="F39" s="1">
        <v>0</v>
      </c>
      <c r="G39" s="7">
        <v>90778</v>
      </c>
      <c r="H39" s="7">
        <v>89917</v>
      </c>
      <c r="I39" s="32">
        <v>0</v>
      </c>
      <c r="J39" s="32">
        <v>0</v>
      </c>
      <c r="K39" s="1"/>
      <c r="L39" s="1"/>
      <c r="M39" s="1"/>
      <c r="N39" s="1"/>
      <c r="O39" s="25">
        <v>0</v>
      </c>
    </row>
  </sheetData>
  <mergeCells count="9">
    <mergeCell ref="E2:F2"/>
    <mergeCell ref="G2:H2"/>
    <mergeCell ref="I2:J2"/>
    <mergeCell ref="B4:B21"/>
    <mergeCell ref="B22:B39"/>
    <mergeCell ref="C4:C8"/>
    <mergeCell ref="C9:C21"/>
    <mergeCell ref="C22:C26"/>
    <mergeCell ref="C27:C3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时光</dc:creator>
  <cp:lastModifiedBy>/、熊 孩子。。</cp:lastModifiedBy>
  <dcterms:created xsi:type="dcterms:W3CDTF">2026-06-09T07:36:28Z</dcterms:created>
  <dcterms:modified xsi:type="dcterms:W3CDTF">2026-06-09T07:48:48Z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D1DB1DB7361C4E8AA2F16DDC2AE9E878_11</vt:lpwstr>
  </property>
  <property fmtid="{D5CDD505-2E9C-101B-9397-08002B2CF9AE}" pid="3" name="KSOProductBuildVer">
    <vt:lpwstr>2052-12.1.0.17827</vt:lpwstr>
  </property>
</Properties>
</file>